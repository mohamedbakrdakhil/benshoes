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au de bord" sheetId="1" r:id="rId1"/>
    <sheet name="Commandes" sheetId="2" r:id="rId2"/>
    <sheet name="Catalogue" sheetId="3" r:id="rId3"/>
    <sheet name="Stock" sheetId="4" r:id="rId4"/>
  </sheets>
  <calcPr calcId="0" fullCalcOnLoad="1"/>
</workbook>
</file>

<file path=xl/styles.xml><?xml version="1.0" encoding="utf-8"?>
<styleSheet xmlns="http://schemas.openxmlformats.org/spreadsheetml/2006/main">
  <numFmts count="3">
    <numFmt numFmtId="164" formatCode="dd/mm/yyyy\ hh:mm"/>
    <numFmt numFmtId="165" formatCode="#,##0\ &quot;DH&quot;"/>
    <numFmt numFmtId="166" formatCode="#,##0"/>
  </numFmts>
  <fonts count="7">
    <font>
      <sz val="11"/>
      <color rgb="FF1C0D09"/>
      <name val="Calibri"/>
    </font>
    <font>
      <b/>
      <sz val="18"/>
      <color rgb="FF8C1F14"/>
      <name val="Calibri"/>
    </font>
    <font>
      <b/>
      <sz val="11"/>
      <color rgb="FFFFFFFF"/>
      <name val="Calibri"/>
    </font>
    <font>
      <b/>
      <sz val="11"/>
      <color rgb="FF1C0D09"/>
      <name val="Calibri"/>
    </font>
    <font>
      <b/>
      <sz val="22"/>
      <color rgb="FF1C0D09"/>
      <name val="Calibri"/>
    </font>
    <font>
      <sz val="10"/>
      <color rgb="FF6F5650"/>
      <name val="Calibri"/>
    </font>
    <font>
      <b/>
      <sz val="12"/>
      <color rgb="FF8C1F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8C1F14"/>
        <bgColor indexed="64"/>
      </patternFill>
    </fill>
    <fill>
      <patternFill patternType="solid">
        <fgColor rgb="FFF3F0E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CDCD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  <xf numFmtId="164" fontId="0" fillId="0" borderId="1" xfId="0" applyNumberFormat="1" applyBorder="1"/>
    <xf numFmtId="165" fontId="0" fillId="0" borderId="1" xfId="0" applyNumberFormat="1" applyBorder="1"/>
    <xf numFmtId="0" fontId="3" fillId="0" borderId="0" xfId="0" applyFont="1"/>
    <xf numFmtId="165" fontId="4" fillId="0" borderId="0" xfId="0" applyNumberFormat="1" applyFont="1"/>
    <xf numFmtId="0" fontId="5" fillId="0" borderId="0" xfId="0" applyFont="1" applyAlignment="1">
      <alignment wrapText="1" vertical="top"/>
    </xf>
    <xf numFmtId="166" fontId="4" fillId="0" borderId="0" xfId="0" applyNumberFormat="1" applyFont="1"/>
    <xf numFmtId="0" fontId="6" fillId="3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/>
  </sheetViews>
  <cols>
    <col min="1" max="1" width="34" customWidth="1"/>
    <col min="2" max="2" width="16" customWidth="1"/>
    <col min="3" max="3" width="16" customWidth="1"/>
    <col min="4" max="4" width="16" customWidth="1"/>
  </cols>
  <sheetData>
    <row r="1" ht="30" customHeight="1">
      <c r="A1" s="1" t="inlineStr">
        <is>
          <t xml:space="preserve">benka — carnet de commandes</t>
        </is>
      </c>
    </row>
    <row r="2" ht="18" customHeight="1">
      <c r="A2" s="7" t="inlineStr">
        <is>
          <t xml:space="preserve">Tout se calcule depuis la feuille « Commandes ». Saisissez-y vos ventes, ou collez une exportation du site.</t>
        </is>
      </c>
    </row>
    <row r="4">
      <c r="A4" s="9" t="inlineStr">
        <is>
          <t xml:space="preserve">D'un coup d'œil</t>
        </is>
      </c>
      <c r="B4" s="9"/>
      <c r="C4" s="9"/>
      <c r="D4" s="9"/>
    </row>
    <row r="5">
      <c r="A5" s="5" t="inlineStr">
        <is>
          <t xml:space="preserve">Commandes reçues</t>
        </is>
      </c>
      <c r="B5" s="8">
        <f>COUNTA(Commandes!$B$2:$B$501)</f>
        <v>0</v>
      </c>
    </row>
    <row r="6">
      <c r="A6" s="5" t="inlineStr">
        <is>
          <t xml:space="preserve">À traiter</t>
        </is>
      </c>
      <c r="B6" s="8">
        <f>COUNTIF(Commandes!$C$2:$C$501,"Nouvelle")+COUNTIF(Commandes!$C$2:$C$501,"Confirmée")</f>
        <v>0</v>
      </c>
    </row>
    <row r="7">
      <c r="A7" s="5" t="inlineStr">
        <is>
          <t xml:space="preserve">Chiffre d'affaires</t>
        </is>
      </c>
      <c r="B7" s="6">
        <f>SUMIF(Commandes!$C$2:$C$501,"&lt;&gt;Annulée",Commandes!$N$2:$N$501)</f>
        <v>0</v>
      </c>
    </row>
    <row r="8">
      <c r="A8" s="5" t="inlineStr">
        <is>
          <t xml:space="preserve">Panier moyen</t>
        </is>
      </c>
      <c r="B8" s="6">
        <f>IFERROR(SUMIF(Commandes!$C$2:$C$501,"&lt;&gt;Annulée",Commandes!$N$2:$N$501)/MAX(1,COUNTA(Commandes!$B$2:$B$501)-COUNTIF(Commandes!$C$2:$C$501,"Annulée")),0)</f>
        <v>0</v>
      </c>
    </row>
    <row r="9">
      <c r="A9" s="5" t="inlineStr">
        <is>
          <t xml:space="preserve">Reste à encaisser</t>
        </is>
      </c>
      <c r="B9" s="6">
        <f>SUMIFS(Commandes!$N$2:$N$501,Commandes!$Q$2:$Q$501,"Non",Commandes!$C$2:$C$501,"&lt;&gt;Annulée")</f>
        <v>0</v>
      </c>
    </row>
    <row r="11">
      <c r="A11" s="9" t="inlineStr">
        <is>
          <t xml:space="preserve">Par statut</t>
        </is>
      </c>
      <c r="B11" s="9" t="inlineStr">
        <is>
          <t xml:space="preserve">Commandes</t>
        </is>
      </c>
      <c r="C11" s="9" t="inlineStr">
        <is>
          <t xml:space="preserve">Montant</t>
        </is>
      </c>
      <c r="D11" s="9"/>
    </row>
    <row r="12">
      <c r="A12" s="5" t="inlineStr">
        <is>
          <t xml:space="preserve">Nouvelle</t>
        </is>
      </c>
      <c r="B12" s="8">
        <f>COUNTIF(Commandes!$C$2:$C$501,"Nouvelle")</f>
        <v>0</v>
      </c>
      <c r="C12" s="4">
        <f>SUMIF(Commandes!$C$2:$C$501,"Nouvelle",Commandes!$N$2:$N$501)</f>
        <v>0</v>
      </c>
    </row>
    <row r="13">
      <c r="A13" s="5" t="inlineStr">
        <is>
          <t xml:space="preserve">Confirmée</t>
        </is>
      </c>
      <c r="B13" s="8">
        <f>COUNTIF(Commandes!$C$2:$C$501,"Confirmée")</f>
        <v>0</v>
      </c>
      <c r="C13" s="4">
        <f>SUMIF(Commandes!$C$2:$C$501,"Confirmée",Commandes!$N$2:$N$501)</f>
        <v>0</v>
      </c>
    </row>
    <row r="14">
      <c r="A14" s="5" t="inlineStr">
        <is>
          <t xml:space="preserve">Expédiée</t>
        </is>
      </c>
      <c r="B14" s="8">
        <f>COUNTIF(Commandes!$C$2:$C$501,"Expédiée")</f>
        <v>0</v>
      </c>
      <c r="C14" s="4">
        <f>SUMIF(Commandes!$C$2:$C$501,"Expédiée",Commandes!$N$2:$N$501)</f>
        <v>0</v>
      </c>
    </row>
    <row r="15">
      <c r="A15" s="5" t="inlineStr">
        <is>
          <t xml:space="preserve">Livrée</t>
        </is>
      </c>
      <c r="B15" s="8">
        <f>COUNTIF(Commandes!$C$2:$C$501,"Livrée")</f>
        <v>0</v>
      </c>
      <c r="C15" s="4">
        <f>SUMIF(Commandes!$C$2:$C$501,"Livrée",Commandes!$N$2:$N$501)</f>
        <v>0</v>
      </c>
    </row>
    <row r="16">
      <c r="A16" s="5" t="inlineStr">
        <is>
          <t xml:space="preserve">Annulée</t>
        </is>
      </c>
      <c r="B16" s="8">
        <f>COUNTIF(Commandes!$C$2:$C$501,"Annulée")</f>
        <v>0</v>
      </c>
      <c r="C16" s="4">
        <f>SUMIF(Commandes!$C$2:$C$501,"Annulée",Commandes!$N$2:$N$501)</f>
        <v>0</v>
      </c>
    </row>
    <row r="18">
      <c r="A18" s="9" t="inlineStr">
        <is>
          <t xml:space="preserve">Par modèle</t>
        </is>
      </c>
      <c r="B18" s="9" t="inlineStr">
        <is>
          <t xml:space="preserve">Commandes</t>
        </is>
      </c>
      <c r="C18" s="9" t="inlineStr">
        <is>
          <t xml:space="preserve">Prix unitaire</t>
        </is>
      </c>
      <c r="D18" s="9"/>
    </row>
    <row r="19">
      <c r="A19" s="5" t="inlineStr">
        <is>
          <t xml:space="preserve">Opus</t>
        </is>
      </c>
      <c r="B19" s="8">
        <f>COUNTIF(Commandes!$K$2:$K$501,"*Opus*")</f>
        <v>0</v>
      </c>
      <c r="C19" s="4">
        <v>259</v>
      </c>
    </row>
    <row r="21">
      <c r="A23" s="9" t="inlineStr">
        <is>
          <t xml:space="preserve">Comment s’en servir</t>
        </is>
      </c>
      <c r="B23" s="9"/>
      <c r="C23" s="9"/>
      <c r="D23" s="9"/>
    </row>
    <row r="22">
      <c r="A24" s="7" t="inlineStr">
        <is>
          <t xml:space="preserve">· Une commande arrive : ajoutez une ligne dans « Commandes ». Les chiffres ci-dessus suivent tout seuls.</t>
        </is>
      </c>
    </row>
    <row r="23">
      <c r="A25" s="7" t="inlineStr">
        <is>
          <t xml:space="preserve">· La colonne Statut et la colonne Payée se choisissent dans une liste déroulante.</t>
        </is>
      </c>
    </row>
    <row r="24">
      <c r="A26" s="7" t="inlineStr">
        <is>
          <t xml:space="preserve">· Depuis le site : espace commandes → Exporter Excel, puis copiez les lignes sous l’en-tête.</t>
        </is>
      </c>
    </row>
    <row r="25">
      <c r="A27" s="7" t="inlineStr">
        <is>
          <t xml:space="preserve">· Les colonnes A à P sont exactement celles du site. Q et R sont à vous.</t>
        </is>
      </c>
    </row>
  </sheetData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cols>
    <col min="1" max="1" width="17" customWidth="1"/>
    <col min="2" max="2" width="15" customWidth="1"/>
    <col min="3" max="3" width="12" customWidth="1"/>
    <col min="4" max="4" width="24" customWidth="1"/>
    <col min="5" max="5" width="15" customWidth="1"/>
    <col min="6" max="6" width="26" customWidth="1"/>
    <col min="7" max="7" width="32" customWidth="1"/>
    <col min="8" max="8" width="11" customWidth="1"/>
    <col min="9" max="9" width="15" customWidth="1"/>
    <col min="10" max="10" width="10" customWidth="1"/>
    <col min="11" max="11" width="42" customWidth="1"/>
    <col min="12" max="12" width="12" customWidth="1"/>
    <col min="13" max="13" width="11" customWidth="1"/>
    <col min="14" max="14" width="12" customWidth="1"/>
    <col min="15" max="15" width="8" customWidth="1"/>
    <col min="16" max="16" width="28" customWidth="1"/>
    <col min="17" max="17" width="9" customWidth="1"/>
    <col min="18" max="18" width="24" customWidth="1"/>
  </cols>
  <sheetData>
    <row r="1" ht="22" customHeight="1">
      <c r="A1" s="2" t="inlineStr">
        <is>
          <t xml:space="preserve">Reçue le</t>
        </is>
      </c>
      <c r="B1" s="2" t="inlineStr">
        <is>
          <t xml:space="preserve">Référence</t>
        </is>
      </c>
      <c r="C1" s="2" t="inlineStr">
        <is>
          <t xml:space="preserve">Statut</t>
        </is>
      </c>
      <c r="D1" s="2" t="inlineStr">
        <is>
          <t xml:space="preserve">Nom</t>
        </is>
      </c>
      <c r="E1" s="2" t="inlineStr">
        <is>
          <t xml:space="preserve">Téléphone</t>
        </is>
      </c>
      <c r="F1" s="2" t="inlineStr">
        <is>
          <t xml:space="preserve">E-mail</t>
        </is>
      </c>
      <c r="G1" s="2" t="inlineStr">
        <is>
          <t xml:space="preserve">Adresse</t>
        </is>
      </c>
      <c r="H1" s="2" t="inlineStr">
        <is>
          <t xml:space="preserve">Code postal</t>
        </is>
      </c>
      <c r="I1" s="2" t="inlineStr">
        <is>
          <t xml:space="preserve">Ville</t>
        </is>
      </c>
      <c r="J1" s="2" t="inlineStr">
        <is>
          <t xml:space="preserve">Pays</t>
        </is>
      </c>
      <c r="K1" s="2" t="inlineStr">
        <is>
          <t xml:space="preserve">Articles</t>
        </is>
      </c>
      <c r="L1" s="2" t="inlineStr">
        <is>
          <t xml:space="preserve">Sous-total</t>
        </is>
      </c>
      <c r="M1" s="2" t="inlineStr">
        <is>
          <t xml:space="preserve">Livraison</t>
        </is>
      </c>
      <c r="N1" s="2" t="inlineStr">
        <is>
          <t xml:space="preserve">Total</t>
        </is>
      </c>
      <c r="O1" s="2" t="inlineStr">
        <is>
          <t xml:space="preserve">Devise</t>
        </is>
      </c>
      <c r="P1" s="2" t="inlineStr">
        <is>
          <t xml:space="preserve">Note</t>
        </is>
      </c>
      <c r="Q1" s="2" t="inlineStr">
        <is>
          <t xml:space="preserve">Payée</t>
        </is>
      </c>
      <c r="R1" s="2" t="inlineStr">
        <is>
          <t xml:space="preserve">Suivi</t>
        </is>
      </c>
    </row>
    <row r="2">
      <c r="A2" s="3"/>
      <c r="L2" s="4"/>
      <c r="M2" s="4"/>
      <c r="N2" s="4"/>
    </row>
    <row r="3">
      <c r="A3" s="3"/>
      <c r="L3" s="4"/>
      <c r="M3" s="4"/>
      <c r="N3" s="4"/>
    </row>
    <row r="4">
      <c r="A4" s="3"/>
      <c r="L4" s="4"/>
      <c r="M4" s="4"/>
      <c r="N4" s="4"/>
    </row>
    <row r="5">
      <c r="A5" s="3"/>
      <c r="L5" s="4"/>
      <c r="M5" s="4"/>
      <c r="N5" s="4"/>
    </row>
    <row r="6">
      <c r="A6" s="3"/>
      <c r="L6" s="4"/>
      <c r="M6" s="4"/>
      <c r="N6" s="4"/>
    </row>
    <row r="7">
      <c r="A7" s="3"/>
      <c r="L7" s="4"/>
      <c r="M7" s="4"/>
      <c r="N7" s="4"/>
    </row>
    <row r="8">
      <c r="A8" s="3"/>
      <c r="L8" s="4"/>
      <c r="M8" s="4"/>
      <c r="N8" s="4"/>
    </row>
    <row r="9">
      <c r="A9" s="3"/>
      <c r="L9" s="4"/>
      <c r="M9" s="4"/>
      <c r="N9" s="4"/>
    </row>
    <row r="10">
      <c r="A10" s="3"/>
      <c r="L10" s="4"/>
      <c r="M10" s="4"/>
      <c r="N10" s="4"/>
    </row>
    <row r="11">
      <c r="A11" s="3"/>
      <c r="L11" s="4"/>
      <c r="M11" s="4"/>
      <c r="N11" s="4"/>
    </row>
    <row r="12">
      <c r="A12" s="3"/>
      <c r="L12" s="4"/>
      <c r="M12" s="4"/>
      <c r="N12" s="4"/>
    </row>
    <row r="13">
      <c r="A13" s="3"/>
      <c r="L13" s="4"/>
      <c r="M13" s="4"/>
      <c r="N13" s="4"/>
    </row>
    <row r="14">
      <c r="A14" s="3"/>
      <c r="L14" s="4"/>
      <c r="M14" s="4"/>
      <c r="N14" s="4"/>
    </row>
    <row r="15">
      <c r="A15" s="3"/>
      <c r="L15" s="4"/>
      <c r="M15" s="4"/>
      <c r="N15" s="4"/>
    </row>
    <row r="16">
      <c r="A16" s="3"/>
      <c r="L16" s="4"/>
      <c r="M16" s="4"/>
      <c r="N16" s="4"/>
    </row>
    <row r="17">
      <c r="A17" s="3"/>
      <c r="L17" s="4"/>
      <c r="M17" s="4"/>
      <c r="N17" s="4"/>
    </row>
    <row r="18">
      <c r="A18" s="3"/>
      <c r="L18" s="4"/>
      <c r="M18" s="4"/>
      <c r="N18" s="4"/>
    </row>
    <row r="19">
      <c r="A19" s="3"/>
      <c r="L19" s="4"/>
      <c r="M19" s="4"/>
      <c r="N19" s="4"/>
    </row>
    <row r="20">
      <c r="A20" s="3"/>
      <c r="L20" s="4"/>
      <c r="M20" s="4"/>
      <c r="N20" s="4"/>
    </row>
    <row r="21">
      <c r="A21" s="3"/>
      <c r="L21" s="4"/>
      <c r="M21" s="4"/>
      <c r="N21" s="4"/>
    </row>
    <row r="22">
      <c r="A22" s="3"/>
      <c r="L22" s="4"/>
      <c r="M22" s="4"/>
      <c r="N22" s="4"/>
    </row>
    <row r="23">
      <c r="A23" s="3"/>
      <c r="L23" s="4"/>
      <c r="M23" s="4"/>
      <c r="N23" s="4"/>
    </row>
    <row r="24">
      <c r="A24" s="3"/>
      <c r="L24" s="4"/>
      <c r="M24" s="4"/>
      <c r="N24" s="4"/>
    </row>
    <row r="25">
      <c r="A25" s="3"/>
      <c r="L25" s="4"/>
      <c r="M25" s="4"/>
      <c r="N25" s="4"/>
    </row>
    <row r="26">
      <c r="A26" s="3"/>
      <c r="L26" s="4"/>
      <c r="M26" s="4"/>
      <c r="N26" s="4"/>
    </row>
    <row r="27">
      <c r="A27" s="3"/>
      <c r="L27" s="4"/>
      <c r="M27" s="4"/>
      <c r="N27" s="4"/>
    </row>
    <row r="28">
      <c r="A28" s="3"/>
      <c r="L28" s="4"/>
      <c r="M28" s="4"/>
      <c r="N28" s="4"/>
    </row>
    <row r="29">
      <c r="A29" s="3"/>
      <c r="L29" s="4"/>
      <c r="M29" s="4"/>
      <c r="N29" s="4"/>
    </row>
    <row r="30">
      <c r="A30" s="3"/>
      <c r="L30" s="4"/>
      <c r="M30" s="4"/>
      <c r="N30" s="4"/>
    </row>
    <row r="31">
      <c r="A31" s="3"/>
      <c r="L31" s="4"/>
      <c r="M31" s="4"/>
      <c r="N31" s="4"/>
    </row>
    <row r="32">
      <c r="A32" s="3"/>
      <c r="L32" s="4"/>
      <c r="M32" s="4"/>
      <c r="N32" s="4"/>
    </row>
    <row r="33">
      <c r="A33" s="3"/>
      <c r="L33" s="4"/>
      <c r="M33" s="4"/>
      <c r="N33" s="4"/>
    </row>
    <row r="34">
      <c r="A34" s="3"/>
      <c r="L34" s="4"/>
      <c r="M34" s="4"/>
      <c r="N34" s="4"/>
    </row>
    <row r="35">
      <c r="A35" s="3"/>
      <c r="L35" s="4"/>
      <c r="M35" s="4"/>
      <c r="N35" s="4"/>
    </row>
    <row r="36">
      <c r="A36" s="3"/>
      <c r="L36" s="4"/>
      <c r="M36" s="4"/>
      <c r="N36" s="4"/>
    </row>
    <row r="37">
      <c r="A37" s="3"/>
      <c r="L37" s="4"/>
      <c r="M37" s="4"/>
      <c r="N37" s="4"/>
    </row>
    <row r="38">
      <c r="A38" s="3"/>
      <c r="L38" s="4"/>
      <c r="M38" s="4"/>
      <c r="N38" s="4"/>
    </row>
    <row r="39">
      <c r="A39" s="3"/>
      <c r="L39" s="4"/>
      <c r="M39" s="4"/>
      <c r="N39" s="4"/>
    </row>
    <row r="40">
      <c r="A40" s="3"/>
      <c r="L40" s="4"/>
      <c r="M40" s="4"/>
      <c r="N40" s="4"/>
    </row>
    <row r="41">
      <c r="A41" s="3"/>
      <c r="L41" s="4"/>
      <c r="M41" s="4"/>
      <c r="N41" s="4"/>
    </row>
    <row r="42">
      <c r="A42" s="3"/>
      <c r="L42" s="4"/>
      <c r="M42" s="4"/>
      <c r="N42" s="4"/>
    </row>
    <row r="43">
      <c r="A43" s="3"/>
      <c r="L43" s="4"/>
      <c r="M43" s="4"/>
      <c r="N43" s="4"/>
    </row>
    <row r="44">
      <c r="A44" s="3"/>
      <c r="L44" s="4"/>
      <c r="M44" s="4"/>
      <c r="N44" s="4"/>
    </row>
    <row r="45">
      <c r="A45" s="3"/>
      <c r="L45" s="4"/>
      <c r="M45" s="4"/>
      <c r="N45" s="4"/>
    </row>
    <row r="46">
      <c r="A46" s="3"/>
      <c r="L46" s="4"/>
      <c r="M46" s="4"/>
      <c r="N46" s="4"/>
    </row>
    <row r="47">
      <c r="A47" s="3"/>
      <c r="L47" s="4"/>
      <c r="M47" s="4"/>
      <c r="N47" s="4"/>
    </row>
    <row r="48">
      <c r="A48" s="3"/>
      <c r="L48" s="4"/>
      <c r="M48" s="4"/>
      <c r="N48" s="4"/>
    </row>
    <row r="49">
      <c r="A49" s="3"/>
      <c r="L49" s="4"/>
      <c r="M49" s="4"/>
      <c r="N49" s="4"/>
    </row>
    <row r="50">
      <c r="A50" s="3"/>
      <c r="L50" s="4"/>
      <c r="M50" s="4"/>
      <c r="N50" s="4"/>
    </row>
    <row r="51">
      <c r="A51" s="3"/>
      <c r="L51" s="4"/>
      <c r="M51" s="4"/>
      <c r="N51" s="4"/>
    </row>
    <row r="52">
      <c r="A52" s="3"/>
      <c r="L52" s="4"/>
      <c r="M52" s="4"/>
      <c r="N52" s="4"/>
    </row>
    <row r="53">
      <c r="A53" s="3"/>
      <c r="L53" s="4"/>
      <c r="M53" s="4"/>
      <c r="N53" s="4"/>
    </row>
    <row r="54">
      <c r="A54" s="3"/>
      <c r="L54" s="4"/>
      <c r="M54" s="4"/>
      <c r="N54" s="4"/>
    </row>
    <row r="55">
      <c r="A55" s="3"/>
      <c r="L55" s="4"/>
      <c r="M55" s="4"/>
      <c r="N55" s="4"/>
    </row>
    <row r="56">
      <c r="A56" s="3"/>
      <c r="L56" s="4"/>
      <c r="M56" s="4"/>
      <c r="N56" s="4"/>
    </row>
    <row r="57">
      <c r="A57" s="3"/>
      <c r="L57" s="4"/>
      <c r="M57" s="4"/>
      <c r="N57" s="4"/>
    </row>
    <row r="58">
      <c r="A58" s="3"/>
      <c r="L58" s="4"/>
      <c r="M58" s="4"/>
      <c r="N58" s="4"/>
    </row>
    <row r="59">
      <c r="A59" s="3"/>
      <c r="L59" s="4"/>
      <c r="M59" s="4"/>
      <c r="N59" s="4"/>
    </row>
    <row r="60">
      <c r="A60" s="3"/>
      <c r="L60" s="4"/>
      <c r="M60" s="4"/>
      <c r="N60" s="4"/>
    </row>
    <row r="61">
      <c r="A61" s="3"/>
      <c r="L61" s="4"/>
      <c r="M61" s="4"/>
      <c r="N61" s="4"/>
    </row>
    <row r="62">
      <c r="A62" s="3"/>
      <c r="L62" s="4"/>
      <c r="M62" s="4"/>
      <c r="N62" s="4"/>
    </row>
    <row r="63">
      <c r="A63" s="3"/>
      <c r="L63" s="4"/>
      <c r="M63" s="4"/>
      <c r="N63" s="4"/>
    </row>
    <row r="64">
      <c r="A64" s="3"/>
      <c r="L64" s="4"/>
      <c r="M64" s="4"/>
      <c r="N64" s="4"/>
    </row>
    <row r="65">
      <c r="A65" s="3"/>
      <c r="L65" s="4"/>
      <c r="M65" s="4"/>
      <c r="N65" s="4"/>
    </row>
    <row r="66">
      <c r="A66" s="3"/>
      <c r="L66" s="4"/>
      <c r="M66" s="4"/>
      <c r="N66" s="4"/>
    </row>
    <row r="67">
      <c r="A67" s="3"/>
      <c r="L67" s="4"/>
      <c r="M67" s="4"/>
      <c r="N67" s="4"/>
    </row>
    <row r="68">
      <c r="A68" s="3"/>
      <c r="L68" s="4"/>
      <c r="M68" s="4"/>
      <c r="N68" s="4"/>
    </row>
    <row r="69">
      <c r="A69" s="3"/>
      <c r="L69" s="4"/>
      <c r="M69" s="4"/>
      <c r="N69" s="4"/>
    </row>
    <row r="70">
      <c r="A70" s="3"/>
      <c r="L70" s="4"/>
      <c r="M70" s="4"/>
      <c r="N70" s="4"/>
    </row>
    <row r="71">
      <c r="A71" s="3"/>
      <c r="L71" s="4"/>
      <c r="M71" s="4"/>
      <c r="N71" s="4"/>
    </row>
    <row r="72">
      <c r="A72" s="3"/>
      <c r="L72" s="4"/>
      <c r="M72" s="4"/>
      <c r="N72" s="4"/>
    </row>
    <row r="73">
      <c r="A73" s="3"/>
      <c r="L73" s="4"/>
      <c r="M73" s="4"/>
      <c r="N73" s="4"/>
    </row>
    <row r="74">
      <c r="A74" s="3"/>
      <c r="L74" s="4"/>
      <c r="M74" s="4"/>
      <c r="N74" s="4"/>
    </row>
    <row r="75">
      <c r="A75" s="3"/>
      <c r="L75" s="4"/>
      <c r="M75" s="4"/>
      <c r="N75" s="4"/>
    </row>
    <row r="76">
      <c r="A76" s="3"/>
      <c r="L76" s="4"/>
      <c r="M76" s="4"/>
      <c r="N76" s="4"/>
    </row>
    <row r="77">
      <c r="A77" s="3"/>
      <c r="L77" s="4"/>
      <c r="M77" s="4"/>
      <c r="N77" s="4"/>
    </row>
    <row r="78">
      <c r="A78" s="3"/>
      <c r="L78" s="4"/>
      <c r="M78" s="4"/>
      <c r="N78" s="4"/>
    </row>
    <row r="79">
      <c r="A79" s="3"/>
      <c r="L79" s="4"/>
      <c r="M79" s="4"/>
      <c r="N79" s="4"/>
    </row>
    <row r="80">
      <c r="A80" s="3"/>
      <c r="L80" s="4"/>
      <c r="M80" s="4"/>
      <c r="N80" s="4"/>
    </row>
    <row r="81">
      <c r="A81" s="3"/>
      <c r="L81" s="4"/>
      <c r="M81" s="4"/>
      <c r="N81" s="4"/>
    </row>
    <row r="82">
      <c r="A82" s="3"/>
      <c r="L82" s="4"/>
      <c r="M82" s="4"/>
      <c r="N82" s="4"/>
    </row>
    <row r="83">
      <c r="A83" s="3"/>
      <c r="L83" s="4"/>
      <c r="M83" s="4"/>
      <c r="N83" s="4"/>
    </row>
    <row r="84">
      <c r="A84" s="3"/>
      <c r="L84" s="4"/>
      <c r="M84" s="4"/>
      <c r="N84" s="4"/>
    </row>
    <row r="85">
      <c r="A85" s="3"/>
      <c r="L85" s="4"/>
      <c r="M85" s="4"/>
      <c r="N85" s="4"/>
    </row>
    <row r="86">
      <c r="A86" s="3"/>
      <c r="L86" s="4"/>
      <c r="M86" s="4"/>
      <c r="N86" s="4"/>
    </row>
    <row r="87">
      <c r="A87" s="3"/>
      <c r="L87" s="4"/>
      <c r="M87" s="4"/>
      <c r="N87" s="4"/>
    </row>
    <row r="88">
      <c r="A88" s="3"/>
      <c r="L88" s="4"/>
      <c r="M88" s="4"/>
      <c r="N88" s="4"/>
    </row>
    <row r="89">
      <c r="A89" s="3"/>
      <c r="L89" s="4"/>
      <c r="M89" s="4"/>
      <c r="N89" s="4"/>
    </row>
    <row r="90">
      <c r="A90" s="3"/>
      <c r="L90" s="4"/>
      <c r="M90" s="4"/>
      <c r="N90" s="4"/>
    </row>
    <row r="91">
      <c r="A91" s="3"/>
      <c r="L91" s="4"/>
      <c r="M91" s="4"/>
      <c r="N91" s="4"/>
    </row>
    <row r="92">
      <c r="A92" s="3"/>
      <c r="L92" s="4"/>
      <c r="M92" s="4"/>
      <c r="N92" s="4"/>
    </row>
    <row r="93">
      <c r="A93" s="3"/>
      <c r="L93" s="4"/>
      <c r="M93" s="4"/>
      <c r="N93" s="4"/>
    </row>
    <row r="94">
      <c r="A94" s="3"/>
      <c r="L94" s="4"/>
      <c r="M94" s="4"/>
      <c r="N94" s="4"/>
    </row>
    <row r="95">
      <c r="A95" s="3"/>
      <c r="L95" s="4"/>
      <c r="M95" s="4"/>
      <c r="N95" s="4"/>
    </row>
    <row r="96">
      <c r="A96" s="3"/>
      <c r="L96" s="4"/>
      <c r="M96" s="4"/>
      <c r="N96" s="4"/>
    </row>
    <row r="97">
      <c r="A97" s="3"/>
      <c r="L97" s="4"/>
      <c r="M97" s="4"/>
      <c r="N97" s="4"/>
    </row>
    <row r="98">
      <c r="A98" s="3"/>
      <c r="L98" s="4"/>
      <c r="M98" s="4"/>
      <c r="N98" s="4"/>
    </row>
    <row r="99">
      <c r="A99" s="3"/>
      <c r="L99" s="4"/>
      <c r="M99" s="4"/>
      <c r="N99" s="4"/>
    </row>
    <row r="100">
      <c r="A100" s="3"/>
      <c r="L100" s="4"/>
      <c r="M100" s="4"/>
      <c r="N100" s="4"/>
    </row>
    <row r="101">
      <c r="A101" s="3"/>
      <c r="L101" s="4"/>
      <c r="M101" s="4"/>
      <c r="N101" s="4"/>
    </row>
    <row r="102">
      <c r="A102" s="3"/>
      <c r="L102" s="4"/>
      <c r="M102" s="4"/>
      <c r="N102" s="4"/>
    </row>
    <row r="103">
      <c r="A103" s="3"/>
      <c r="L103" s="4"/>
      <c r="M103" s="4"/>
      <c r="N103" s="4"/>
    </row>
    <row r="104">
      <c r="A104" s="3"/>
      <c r="L104" s="4"/>
      <c r="M104" s="4"/>
      <c r="N104" s="4"/>
    </row>
    <row r="105">
      <c r="A105" s="3"/>
      <c r="L105" s="4"/>
      <c r="M105" s="4"/>
      <c r="N105" s="4"/>
    </row>
    <row r="106">
      <c r="A106" s="3"/>
      <c r="L106" s="4"/>
      <c r="M106" s="4"/>
      <c r="N106" s="4"/>
    </row>
    <row r="107">
      <c r="A107" s="3"/>
      <c r="L107" s="4"/>
      <c r="M107" s="4"/>
      <c r="N107" s="4"/>
    </row>
    <row r="108">
      <c r="A108" s="3"/>
      <c r="L108" s="4"/>
      <c r="M108" s="4"/>
      <c r="N108" s="4"/>
    </row>
    <row r="109">
      <c r="A109" s="3"/>
      <c r="L109" s="4"/>
      <c r="M109" s="4"/>
      <c r="N109" s="4"/>
    </row>
    <row r="110">
      <c r="A110" s="3"/>
      <c r="L110" s="4"/>
      <c r="M110" s="4"/>
      <c r="N110" s="4"/>
    </row>
    <row r="111">
      <c r="A111" s="3"/>
      <c r="L111" s="4"/>
      <c r="M111" s="4"/>
      <c r="N111" s="4"/>
    </row>
    <row r="112">
      <c r="A112" s="3"/>
      <c r="L112" s="4"/>
      <c r="M112" s="4"/>
      <c r="N112" s="4"/>
    </row>
    <row r="113">
      <c r="A113" s="3"/>
      <c r="L113" s="4"/>
      <c r="M113" s="4"/>
      <c r="N113" s="4"/>
    </row>
    <row r="114">
      <c r="A114" s="3"/>
      <c r="L114" s="4"/>
      <c r="M114" s="4"/>
      <c r="N114" s="4"/>
    </row>
    <row r="115">
      <c r="A115" s="3"/>
      <c r="L115" s="4"/>
      <c r="M115" s="4"/>
      <c r="N115" s="4"/>
    </row>
    <row r="116">
      <c r="A116" s="3"/>
      <c r="L116" s="4"/>
      <c r="M116" s="4"/>
      <c r="N116" s="4"/>
    </row>
    <row r="117">
      <c r="A117" s="3"/>
      <c r="L117" s="4"/>
      <c r="M117" s="4"/>
      <c r="N117" s="4"/>
    </row>
    <row r="118">
      <c r="A118" s="3"/>
      <c r="L118" s="4"/>
      <c r="M118" s="4"/>
      <c r="N118" s="4"/>
    </row>
    <row r="119">
      <c r="A119" s="3"/>
      <c r="L119" s="4"/>
      <c r="M119" s="4"/>
      <c r="N119" s="4"/>
    </row>
    <row r="120">
      <c r="A120" s="3"/>
      <c r="L120" s="4"/>
      <c r="M120" s="4"/>
      <c r="N120" s="4"/>
    </row>
    <row r="121">
      <c r="A121" s="3"/>
      <c r="L121" s="4"/>
      <c r="M121" s="4"/>
      <c r="N121" s="4"/>
    </row>
    <row r="122">
      <c r="A122" s="3"/>
      <c r="L122" s="4"/>
      <c r="M122" s="4"/>
      <c r="N122" s="4"/>
    </row>
    <row r="123">
      <c r="A123" s="3"/>
      <c r="L123" s="4"/>
      <c r="M123" s="4"/>
      <c r="N123" s="4"/>
    </row>
    <row r="124">
      <c r="A124" s="3"/>
      <c r="L124" s="4"/>
      <c r="M124" s="4"/>
      <c r="N124" s="4"/>
    </row>
    <row r="125">
      <c r="A125" s="3"/>
      <c r="L125" s="4"/>
      <c r="M125" s="4"/>
      <c r="N125" s="4"/>
    </row>
    <row r="126">
      <c r="A126" s="3"/>
      <c r="L126" s="4"/>
      <c r="M126" s="4"/>
      <c r="N126" s="4"/>
    </row>
    <row r="127">
      <c r="A127" s="3"/>
      <c r="L127" s="4"/>
      <c r="M127" s="4"/>
      <c r="N127" s="4"/>
    </row>
    <row r="128">
      <c r="A128" s="3"/>
      <c r="L128" s="4"/>
      <c r="M128" s="4"/>
      <c r="N128" s="4"/>
    </row>
    <row r="129">
      <c r="A129" s="3"/>
      <c r="L129" s="4"/>
      <c r="M129" s="4"/>
      <c r="N129" s="4"/>
    </row>
    <row r="130">
      <c r="A130" s="3"/>
      <c r="L130" s="4"/>
      <c r="M130" s="4"/>
      <c r="N130" s="4"/>
    </row>
    <row r="131">
      <c r="A131" s="3"/>
      <c r="L131" s="4"/>
      <c r="M131" s="4"/>
      <c r="N131" s="4"/>
    </row>
    <row r="132">
      <c r="A132" s="3"/>
      <c r="L132" s="4"/>
      <c r="M132" s="4"/>
      <c r="N132" s="4"/>
    </row>
    <row r="133">
      <c r="A133" s="3"/>
      <c r="L133" s="4"/>
      <c r="M133" s="4"/>
      <c r="N133" s="4"/>
    </row>
    <row r="134">
      <c r="A134" s="3"/>
      <c r="L134" s="4"/>
      <c r="M134" s="4"/>
      <c r="N134" s="4"/>
    </row>
    <row r="135">
      <c r="A135" s="3"/>
      <c r="L135" s="4"/>
      <c r="M135" s="4"/>
      <c r="N135" s="4"/>
    </row>
    <row r="136">
      <c r="A136" s="3"/>
      <c r="L136" s="4"/>
      <c r="M136" s="4"/>
      <c r="N136" s="4"/>
    </row>
    <row r="137">
      <c r="A137" s="3"/>
      <c r="L137" s="4"/>
      <c r="M137" s="4"/>
      <c r="N137" s="4"/>
    </row>
    <row r="138">
      <c r="A138" s="3"/>
      <c r="L138" s="4"/>
      <c r="M138" s="4"/>
      <c r="N138" s="4"/>
    </row>
    <row r="139">
      <c r="A139" s="3"/>
      <c r="L139" s="4"/>
      <c r="M139" s="4"/>
      <c r="N139" s="4"/>
    </row>
    <row r="140">
      <c r="A140" s="3"/>
      <c r="L140" s="4"/>
      <c r="M140" s="4"/>
      <c r="N140" s="4"/>
    </row>
    <row r="141">
      <c r="A141" s="3"/>
      <c r="L141" s="4"/>
      <c r="M141" s="4"/>
      <c r="N141" s="4"/>
    </row>
    <row r="142">
      <c r="A142" s="3"/>
      <c r="L142" s="4"/>
      <c r="M142" s="4"/>
      <c r="N142" s="4"/>
    </row>
    <row r="143">
      <c r="A143" s="3"/>
      <c r="L143" s="4"/>
      <c r="M143" s="4"/>
      <c r="N143" s="4"/>
    </row>
    <row r="144">
      <c r="A144" s="3"/>
      <c r="L144" s="4"/>
      <c r="M144" s="4"/>
      <c r="N144" s="4"/>
    </row>
    <row r="145">
      <c r="A145" s="3"/>
      <c r="L145" s="4"/>
      <c r="M145" s="4"/>
      <c r="N145" s="4"/>
    </row>
    <row r="146">
      <c r="A146" s="3"/>
      <c r="L146" s="4"/>
      <c r="M146" s="4"/>
      <c r="N146" s="4"/>
    </row>
    <row r="147">
      <c r="A147" s="3"/>
      <c r="L147" s="4"/>
      <c r="M147" s="4"/>
      <c r="N147" s="4"/>
    </row>
    <row r="148">
      <c r="A148" s="3"/>
      <c r="L148" s="4"/>
      <c r="M148" s="4"/>
      <c r="N148" s="4"/>
    </row>
    <row r="149">
      <c r="A149" s="3"/>
      <c r="L149" s="4"/>
      <c r="M149" s="4"/>
      <c r="N149" s="4"/>
    </row>
    <row r="150">
      <c r="A150" s="3"/>
      <c r="L150" s="4"/>
      <c r="M150" s="4"/>
      <c r="N150" s="4"/>
    </row>
    <row r="151">
      <c r="A151" s="3"/>
      <c r="L151" s="4"/>
      <c r="M151" s="4"/>
      <c r="N151" s="4"/>
    </row>
    <row r="152">
      <c r="A152" s="3"/>
      <c r="L152" s="4"/>
      <c r="M152" s="4"/>
      <c r="N152" s="4"/>
    </row>
    <row r="153">
      <c r="A153" s="3"/>
      <c r="L153" s="4"/>
      <c r="M153" s="4"/>
      <c r="N153" s="4"/>
    </row>
    <row r="154">
      <c r="A154" s="3"/>
      <c r="L154" s="4"/>
      <c r="M154" s="4"/>
      <c r="N154" s="4"/>
    </row>
    <row r="155">
      <c r="A155" s="3"/>
      <c r="L155" s="4"/>
      <c r="M155" s="4"/>
      <c r="N155" s="4"/>
    </row>
    <row r="156">
      <c r="A156" s="3"/>
      <c r="L156" s="4"/>
      <c r="M156" s="4"/>
      <c r="N156" s="4"/>
    </row>
    <row r="157">
      <c r="A157" s="3"/>
      <c r="L157" s="4"/>
      <c r="M157" s="4"/>
      <c r="N157" s="4"/>
    </row>
    <row r="158">
      <c r="A158" s="3"/>
      <c r="L158" s="4"/>
      <c r="M158" s="4"/>
      <c r="N158" s="4"/>
    </row>
    <row r="159">
      <c r="A159" s="3"/>
      <c r="L159" s="4"/>
      <c r="M159" s="4"/>
      <c r="N159" s="4"/>
    </row>
    <row r="160">
      <c r="A160" s="3"/>
      <c r="L160" s="4"/>
      <c r="M160" s="4"/>
      <c r="N160" s="4"/>
    </row>
    <row r="161">
      <c r="A161" s="3"/>
      <c r="L161" s="4"/>
      <c r="M161" s="4"/>
      <c r="N161" s="4"/>
    </row>
    <row r="162">
      <c r="A162" s="3"/>
      <c r="L162" s="4"/>
      <c r="M162" s="4"/>
      <c r="N162" s="4"/>
    </row>
    <row r="163">
      <c r="A163" s="3"/>
      <c r="L163" s="4"/>
      <c r="M163" s="4"/>
      <c r="N163" s="4"/>
    </row>
    <row r="164">
      <c r="A164" s="3"/>
      <c r="L164" s="4"/>
      <c r="M164" s="4"/>
      <c r="N164" s="4"/>
    </row>
    <row r="165">
      <c r="A165" s="3"/>
      <c r="L165" s="4"/>
      <c r="M165" s="4"/>
      <c r="N165" s="4"/>
    </row>
    <row r="166">
      <c r="A166" s="3"/>
      <c r="L166" s="4"/>
      <c r="M166" s="4"/>
      <c r="N166" s="4"/>
    </row>
    <row r="167">
      <c r="A167" s="3"/>
      <c r="L167" s="4"/>
      <c r="M167" s="4"/>
      <c r="N167" s="4"/>
    </row>
    <row r="168">
      <c r="A168" s="3"/>
      <c r="L168" s="4"/>
      <c r="M168" s="4"/>
      <c r="N168" s="4"/>
    </row>
    <row r="169">
      <c r="A169" s="3"/>
      <c r="L169" s="4"/>
      <c r="M169" s="4"/>
      <c r="N169" s="4"/>
    </row>
    <row r="170">
      <c r="A170" s="3"/>
      <c r="L170" s="4"/>
      <c r="M170" s="4"/>
      <c r="N170" s="4"/>
    </row>
    <row r="171">
      <c r="A171" s="3"/>
      <c r="L171" s="4"/>
      <c r="M171" s="4"/>
      <c r="N171" s="4"/>
    </row>
    <row r="172">
      <c r="A172" s="3"/>
      <c r="L172" s="4"/>
      <c r="M172" s="4"/>
      <c r="N172" s="4"/>
    </row>
    <row r="173">
      <c r="A173" s="3"/>
      <c r="L173" s="4"/>
      <c r="M173" s="4"/>
      <c r="N173" s="4"/>
    </row>
    <row r="174">
      <c r="A174" s="3"/>
      <c r="L174" s="4"/>
      <c r="M174" s="4"/>
      <c r="N174" s="4"/>
    </row>
    <row r="175">
      <c r="A175" s="3"/>
      <c r="L175" s="4"/>
      <c r="M175" s="4"/>
      <c r="N175" s="4"/>
    </row>
    <row r="176">
      <c r="A176" s="3"/>
      <c r="L176" s="4"/>
      <c r="M176" s="4"/>
      <c r="N176" s="4"/>
    </row>
    <row r="177">
      <c r="A177" s="3"/>
      <c r="L177" s="4"/>
      <c r="M177" s="4"/>
      <c r="N177" s="4"/>
    </row>
    <row r="178">
      <c r="A178" s="3"/>
      <c r="L178" s="4"/>
      <c r="M178" s="4"/>
      <c r="N178" s="4"/>
    </row>
    <row r="179">
      <c r="A179" s="3"/>
      <c r="L179" s="4"/>
      <c r="M179" s="4"/>
      <c r="N179" s="4"/>
    </row>
    <row r="180">
      <c r="A180" s="3"/>
      <c r="L180" s="4"/>
      <c r="M180" s="4"/>
      <c r="N180" s="4"/>
    </row>
    <row r="181">
      <c r="A181" s="3"/>
      <c r="L181" s="4"/>
      <c r="M181" s="4"/>
      <c r="N181" s="4"/>
    </row>
    <row r="182">
      <c r="A182" s="3"/>
      <c r="L182" s="4"/>
      <c r="M182" s="4"/>
      <c r="N182" s="4"/>
    </row>
    <row r="183">
      <c r="A183" s="3"/>
      <c r="L183" s="4"/>
      <c r="M183" s="4"/>
      <c r="N183" s="4"/>
    </row>
    <row r="184">
      <c r="A184" s="3"/>
      <c r="L184" s="4"/>
      <c r="M184" s="4"/>
      <c r="N184" s="4"/>
    </row>
    <row r="185">
      <c r="A185" s="3"/>
      <c r="L185" s="4"/>
      <c r="M185" s="4"/>
      <c r="N185" s="4"/>
    </row>
    <row r="186">
      <c r="A186" s="3"/>
      <c r="L186" s="4"/>
      <c r="M186" s="4"/>
      <c r="N186" s="4"/>
    </row>
    <row r="187">
      <c r="A187" s="3"/>
      <c r="L187" s="4"/>
      <c r="M187" s="4"/>
      <c r="N187" s="4"/>
    </row>
    <row r="188">
      <c r="A188" s="3"/>
      <c r="L188" s="4"/>
      <c r="M188" s="4"/>
      <c r="N188" s="4"/>
    </row>
    <row r="189">
      <c r="A189" s="3"/>
      <c r="L189" s="4"/>
      <c r="M189" s="4"/>
      <c r="N189" s="4"/>
    </row>
    <row r="190">
      <c r="A190" s="3"/>
      <c r="L190" s="4"/>
      <c r="M190" s="4"/>
      <c r="N190" s="4"/>
    </row>
    <row r="191">
      <c r="A191" s="3"/>
      <c r="L191" s="4"/>
      <c r="M191" s="4"/>
      <c r="N191" s="4"/>
    </row>
    <row r="192">
      <c r="A192" s="3"/>
      <c r="L192" s="4"/>
      <c r="M192" s="4"/>
      <c r="N192" s="4"/>
    </row>
    <row r="193">
      <c r="A193" s="3"/>
      <c r="L193" s="4"/>
      <c r="M193" s="4"/>
      <c r="N193" s="4"/>
    </row>
    <row r="194">
      <c r="A194" s="3"/>
      <c r="L194" s="4"/>
      <c r="M194" s="4"/>
      <c r="N194" s="4"/>
    </row>
    <row r="195">
      <c r="A195" s="3"/>
      <c r="L195" s="4"/>
      <c r="M195" s="4"/>
      <c r="N195" s="4"/>
    </row>
    <row r="196">
      <c r="A196" s="3"/>
      <c r="L196" s="4"/>
      <c r="M196" s="4"/>
      <c r="N196" s="4"/>
    </row>
    <row r="197">
      <c r="A197" s="3"/>
      <c r="L197" s="4"/>
      <c r="M197" s="4"/>
      <c r="N197" s="4"/>
    </row>
    <row r="198">
      <c r="A198" s="3"/>
      <c r="L198" s="4"/>
      <c r="M198" s="4"/>
      <c r="N198" s="4"/>
    </row>
    <row r="199">
      <c r="A199" s="3"/>
      <c r="L199" s="4"/>
      <c r="M199" s="4"/>
      <c r="N199" s="4"/>
    </row>
    <row r="200">
      <c r="A200" s="3"/>
      <c r="L200" s="4"/>
      <c r="M200" s="4"/>
      <c r="N200" s="4"/>
    </row>
    <row r="201">
      <c r="A201" s="3"/>
      <c r="L201" s="4"/>
      <c r="M201" s="4"/>
      <c r="N201" s="4"/>
    </row>
  </sheetData>
  <autoFilter ref="A1:R501"/>
  <dataValidations count="2">
    <dataValidation type="list" allowBlank="1" showInputMessage="1" showErrorMessage="1" sqref="C2:C501">
      <formula1>"Nouvelle,Confirmée,Expédiée,Livrée,Annulée"</formula1>
    </dataValidation>
    <dataValidation type="list" allowBlank="1" showInputMessage="1" showErrorMessage="1" sqref="Q2:Q501">
      <formula1>"Oui,Non"</formula1>
    </dataValidation>
  </dataValidations>
</worksheet>
</file>

<file path=xl/worksheets/sheet3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cols>
    <col min="1" max="1" width="14" customWidth="1"/>
    <col min="2" max="2" width="36" customWidth="1"/>
    <col min="3" max="3" width="10" customWidth="1"/>
    <col min="4" max="4" width="46" customWidth="1"/>
    <col min="5" max="5" width="20" customWidth="1"/>
  </cols>
  <sheetData>
    <row r="1" ht="22" customHeight="1">
      <c r="A1" s="2" t="inlineStr">
        <is>
          <t xml:space="preserve">Modèle</t>
        </is>
      </c>
      <c r="B1" s="2" t="inlineStr">
        <is>
          <t xml:space="preserve">Description</t>
        </is>
      </c>
      <c r="C1" s="2" t="inlineStr">
        <is>
          <t xml:space="preserve">Prix</t>
        </is>
      </c>
      <c r="D1" s="2" t="inlineStr">
        <is>
          <t xml:space="preserve">Coloris</t>
        </is>
      </c>
      <c r="E1" s="2" t="inlineStr">
        <is>
          <t xml:space="preserve">Pointures</t>
        </is>
      </c>
    </row>
    <row r="2">
      <c r="A2" t="inlineStr">
        <is>
          <t xml:space="preserve">Opus</t>
        </is>
      </c>
      <c r="B2" t="inlineStr">
        <is>
          <t xml:space="preserve">Mocassin-mule à bride penny</t>
        </is>
      </c>
      <c r="C2" s="4">
        <v>259</v>
      </c>
      <c r="D2" t="inlineStr">
        <is>
          <t xml:space="preserve">Beige, Gris, Marine, Rose, Marron, Tabac, Noir</t>
        </is>
      </c>
      <c r="E2" t="inlineStr">
        <is>
          <t xml:space="preserve">37 · 38 · 39 · 40 · 41</t>
        </is>
      </c>
    </row>
    <row r="4">
      <c r="A4" s="5" t="inlineStr">
        <is>
          <t xml:space="preserve">Livraison</t>
        </is>
      </c>
      <c r="B4" t="inlineStr">
        <is>
          <t xml:space="preserve">Offerte dès 400 DH, sinon</t>
        </is>
      </c>
      <c r="C4" s="4">
        <v>35</v>
      </c>
    </row>
    <row r="5">
      <c r="A5" s="7" t="inlineStr">
        <is>
          <t xml:space="preserve">Si vous changez un prix ici, changez-le aussi sur le site (src/scripts/02-catalogue.js) et dans integrations/tableur.gs.</t>
        </is>
      </c>
    </row>
  </sheetData>
</worksheet>
</file>

<file path=xl/worksheets/sheet4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cols>
    <col min="1" max="1" width="16" customWidth="1"/>
    <col min="2" max="2" width="9" customWidth="1"/>
    <col min="3" max="3" width="9" customWidth="1"/>
    <col min="4" max="4" width="9" customWidth="1"/>
    <col min="5" max="5" width="9" customWidth="1"/>
    <col min="6" max="6" width="9" customWidth="1"/>
    <col min="7" max="7" width="10" customWidth="1"/>
  </cols>
  <sheetData>
    <row r="1" ht="22" customHeight="1">
      <c r="A1" s="2" t="inlineStr">
        <is>
          <t xml:space="preserve">Modèle</t>
        </is>
      </c>
      <c r="B1" s="2" t="inlineStr">
        <is>
          <t xml:space="preserve">P. 37</t>
        </is>
      </c>
      <c r="C1" s="2" t="inlineStr">
        <is>
          <t xml:space="preserve">P. 38</t>
        </is>
      </c>
      <c r="D1" s="2" t="inlineStr">
        <is>
          <t xml:space="preserve">P. 39</t>
        </is>
      </c>
      <c r="E1" s="2" t="inlineStr">
        <is>
          <t xml:space="preserve">P. 40</t>
        </is>
      </c>
      <c r="F1" s="2" t="inlineStr">
        <is>
          <t xml:space="preserve">P. 41</t>
        </is>
      </c>
      <c r="G1" s="2" t="inlineStr">
        <is>
          <t xml:space="preserve">Total</t>
        </is>
      </c>
    </row>
    <row r="2">
      <c r="A2" t="inlineStr">
        <is>
          <t xml:space="preserve">Opus</t>
        </is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f>SUM(B2:F2)</f>
        <v>0</v>
      </c>
    </row>
    <row r="3">
      <c r="A3" s="5" t="inlineStr">
        <is>
          <t xml:space="preserve">Total</t>
        </is>
      </c>
      <c r="B3" s="8">
        <f>SUM(B2:B2)</f>
        <v>0</v>
      </c>
      <c r="C3" s="8">
        <f>SUM(C2:C2)</f>
        <v>0</v>
      </c>
      <c r="D3" s="8">
        <f>SUM(D2:D2)</f>
        <v>0</v>
      </c>
      <c r="E3" s="8">
        <f>SUM(E2:E2)</f>
        <v>0</v>
      </c>
      <c r="F3" s="8">
        <f>SUM(F2:F2)</f>
        <v>0</v>
      </c>
      <c r="G3" s="8">
        <f>SUM(G2:G2)</f>
        <v>0</v>
      </c>
    </row>
    <row r="5">
      <c r="A5" s="7" t="inlineStr">
        <is>
          <t xml:space="preserve">Paires disponibles, par modèle et par pointure. À tenir à jour à la main.</t>
        </is>
      </c>
    </row>
  </sheetData>
</worksheet>
</file>